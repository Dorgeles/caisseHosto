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y\Documents\"/>
    </mc:Choice>
  </mc:AlternateContent>
  <xr:revisionPtr revIDLastSave="0" documentId="13_ncr:1_{9E615EB9-2678-4713-AE7A-80BD2BE995CB}" xr6:coauthVersionLast="45" xr6:coauthVersionMax="45" xr10:uidLastSave="{00000000-0000-0000-0000-000000000000}"/>
  <bookViews>
    <workbookView xWindow="20370" yWindow="-120" windowWidth="24240" windowHeight="13740" activeTab="1" xr2:uid="{6F20DD3F-F7D3-4777-B339-79A5EBBF4F8E}"/>
  </bookViews>
  <sheets>
    <sheet name="Caisse" sheetId="3" r:id="rId1"/>
    <sheet name="POS" sheetId="1" r:id="rId2"/>
    <sheet name="FACTURATION" sheetId="4" r:id="rId3"/>
  </sheets>
  <definedNames>
    <definedName name="Activitée_ID">OFFSET(FACTURATION!$A$2,1,,COUNTA(FACTURATION!$A$2:$A$999)-1,1)</definedName>
    <definedName name="description">OFFSET(FACTURATION!$C$2,1,,COUNTA(FACTURATION!$C$2:$C$999)-1,1)</definedName>
    <definedName name="examen">OFFSET(FACTURATION!$B$2,1,,COUNTA(FACTURATION!$B$2:$B$999)-1,1)</definedName>
    <definedName name="FooterRange">Caisse!$Q$12:$R$14</definedName>
    <definedName name="NumeReçu">OFFSET(POS!$A$2,1,,COUNTA(POS!$A$2:$A$999)-1,1)</definedName>
    <definedName name="_xlnm.Print_Area" localSheetId="0">Caisse!$K$1:$N$24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" i="3" l="1"/>
  <c r="N12" i="3"/>
  <c r="B8" i="3"/>
  <c r="D5" i="3"/>
  <c r="M7" i="3" l="1"/>
  <c r="R13" i="3" l="1"/>
  <c r="B6" i="3"/>
  <c r="I4" i="3" l="1"/>
  <c r="R14" i="3" s="1"/>
  <c r="R12" i="3" l="1"/>
  <c r="I7" i="3"/>
</calcChain>
</file>

<file path=xl/sharedStrings.xml><?xml version="1.0" encoding="utf-8"?>
<sst xmlns="http://schemas.openxmlformats.org/spreadsheetml/2006/main" count="114" uniqueCount="63">
  <si>
    <t xml:space="preserve"> </t>
  </si>
  <si>
    <t>libellé produit</t>
  </si>
  <si>
    <t>Total:</t>
  </si>
  <si>
    <t>Payement:</t>
  </si>
  <si>
    <t>Monnaie:</t>
  </si>
  <si>
    <t>Prix:</t>
  </si>
  <si>
    <t>Quantité:</t>
  </si>
  <si>
    <t>Produit Scané:</t>
  </si>
  <si>
    <t xml:space="preserve">  </t>
  </si>
  <si>
    <t>Reçu de caisse</t>
  </si>
  <si>
    <t xml:space="preserve">Hopital Générale de fresco </t>
  </si>
  <si>
    <t>Reçu #:</t>
  </si>
  <si>
    <t>Caissier</t>
  </si>
  <si>
    <t>Date:</t>
  </si>
  <si>
    <t>activitée</t>
  </si>
  <si>
    <t>Qte</t>
  </si>
  <si>
    <t>Prix</t>
  </si>
  <si>
    <t>Total</t>
  </si>
  <si>
    <t>Activitée chargé</t>
  </si>
  <si>
    <t>activité colonne</t>
  </si>
  <si>
    <t xml:space="preserve"> CAISSE</t>
  </si>
  <si>
    <t>Activitées</t>
  </si>
  <si>
    <t>Activitée ID</t>
  </si>
  <si>
    <t>Prix assuré</t>
  </si>
  <si>
    <t>Cotation</t>
  </si>
  <si>
    <t>NFS</t>
  </si>
  <si>
    <t>WIDAL</t>
  </si>
  <si>
    <t>BW</t>
  </si>
  <si>
    <t>TPHA</t>
  </si>
  <si>
    <t>GPE RH</t>
  </si>
  <si>
    <t>TOXOPL</t>
  </si>
  <si>
    <t>HEPATITE B</t>
  </si>
  <si>
    <t>HEPATITE C</t>
  </si>
  <si>
    <t>CHOLESTER TOTAL</t>
  </si>
  <si>
    <t>CHOLESTEROL HDL</t>
  </si>
  <si>
    <t>B60</t>
  </si>
  <si>
    <t>B80</t>
  </si>
  <si>
    <t>B40</t>
  </si>
  <si>
    <t>B100</t>
  </si>
  <si>
    <t>B20</t>
  </si>
  <si>
    <t>GOUTTE EPAISS</t>
  </si>
  <si>
    <t>CHOLESTEROL LDL</t>
  </si>
  <si>
    <t>UREE</t>
  </si>
  <si>
    <t>GLYCEMIE</t>
  </si>
  <si>
    <t>TRIGLYCEMIE</t>
  </si>
  <si>
    <t>TGO</t>
  </si>
  <si>
    <t>TGP</t>
  </si>
  <si>
    <t>CRACHAT</t>
  </si>
  <si>
    <t>HEMATOLOGIE</t>
  </si>
  <si>
    <t>PARASITOLOGIE</t>
  </si>
  <si>
    <t>BIOCHIMIE</t>
  </si>
  <si>
    <t>B30</t>
  </si>
  <si>
    <t>Prochain Reçu</t>
  </si>
  <si>
    <t>Reçu colonne</t>
  </si>
  <si>
    <t>Examen</t>
  </si>
  <si>
    <t>Description</t>
  </si>
  <si>
    <t>CREATINE</t>
  </si>
  <si>
    <t>IMMINOLOGIE</t>
  </si>
  <si>
    <t>Prix Non Assuré</t>
  </si>
  <si>
    <t>.</t>
  </si>
  <si>
    <t>Type Payement</t>
  </si>
  <si>
    <t>Dje bi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</si>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</sst>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CFA&quot;;\-#,##0.00\ &quot;CFA&quot;"/>
    <numFmt numFmtId="42" formatCode="_-* #,##0\ &quot;CFA&quot;_-;\-* #,##0\ &quot;CFA&quot;_-;_-* &quot;-&quot;\ &quot;CFA&quot;_-;_-@_-"/>
    <numFmt numFmtId="164" formatCode="#,##0\ &quot;CFA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Webdings"/>
      <family val="1"/>
      <charset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gradientFill degree="90">
        <stop position="0">
          <color theme="4"/>
        </stop>
        <stop position="1">
          <color theme="4" tint="0.80001220740379042"/>
        </stop>
      </gradientFill>
    </fill>
    <fill>
      <gradientFill degree="90">
        <stop position="0">
          <color theme="4" tint="0.80001220740379042"/>
        </stop>
        <stop position="1">
          <color theme="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2" fontId="5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5" borderId="5" xfId="0" applyFill="1" applyBorder="1"/>
    <xf numFmtId="0" fontId="0" fillId="5" borderId="2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6" borderId="8" xfId="0" applyFill="1" applyBorder="1" applyAlignment="1">
      <alignment horizontal="center"/>
    </xf>
    <xf numFmtId="1" fontId="0" fillId="6" borderId="0" xfId="0" applyNumberFormat="1" applyFill="1"/>
    <xf numFmtId="164" fontId="0" fillId="6" borderId="0" xfId="0" applyNumberFormat="1" applyFill="1"/>
    <xf numFmtId="0" fontId="0" fillId="5" borderId="1" xfId="0" applyFill="1" applyBorder="1" applyAlignment="1">
      <alignment horizontal="right" vertical="center"/>
    </xf>
    <xf numFmtId="0" fontId="0" fillId="7" borderId="0" xfId="0" applyFill="1" applyBorder="1" applyAlignment="1">
      <alignment horizontal="right" vertical="center"/>
    </xf>
    <xf numFmtId="0" fontId="0" fillId="8" borderId="4" xfId="0" applyFill="1" applyBorder="1"/>
    <xf numFmtId="164" fontId="0" fillId="0" borderId="0" xfId="0" applyNumberFormat="1"/>
    <xf numFmtId="0" fontId="0" fillId="9" borderId="4" xfId="0" applyFill="1" applyBorder="1"/>
    <xf numFmtId="0" fontId="0" fillId="5" borderId="9" xfId="0" applyFill="1" applyBorder="1"/>
    <xf numFmtId="164" fontId="0" fillId="5" borderId="1" xfId="0" applyNumberFormat="1" applyFill="1" applyBorder="1"/>
    <xf numFmtId="0" fontId="0" fillId="5" borderId="0" xfId="0" applyFill="1" applyBorder="1"/>
    <xf numFmtId="0" fontId="0" fillId="10" borderId="0" xfId="0" applyFill="1"/>
    <xf numFmtId="0" fontId="0" fillId="10" borderId="0" xfId="0" applyFill="1" applyAlignment="1">
      <alignment horizontal="center" vertical="center"/>
    </xf>
    <xf numFmtId="42" fontId="0" fillId="0" borderId="0" xfId="1" applyFont="1"/>
    <xf numFmtId="42" fontId="0" fillId="10" borderId="0" xfId="1" applyFont="1" applyFill="1"/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  <xf numFmtId="42" fontId="0" fillId="10" borderId="0" xfId="1" applyFont="1" applyFill="1" applyAlignment="1">
      <alignment horizontal="center" vertical="center"/>
    </xf>
    <xf numFmtId="42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7" fontId="0" fillId="7" borderId="3" xfId="0" applyNumberFormat="1" applyFill="1" applyBorder="1"/>
    <xf numFmtId="1" fontId="0" fillId="7" borderId="3" xfId="0" applyNumberFormat="1" applyFill="1" applyBorder="1"/>
    <xf numFmtId="42" fontId="0" fillId="7" borderId="1" xfId="1" applyFont="1" applyFill="1" applyBorder="1"/>
    <xf numFmtId="164" fontId="0" fillId="7" borderId="1" xfId="0" applyNumberForma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22" fontId="0" fillId="6" borderId="0" xfId="0" applyNumberFormat="1" applyFill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/>
    </xf>
    <xf numFmtId="22" fontId="0" fillId="0" borderId="0" xfId="0" applyNumberFormat="1"/>
    <xf numFmtId="7" fontId="0" fillId="0" borderId="0" xfId="0" applyNumberFormat="1"/>
    <xf numFmtId="22" fontId="0" fillId="9" borderId="4" xfId="0" applyNumberFormat="1" applyFill="1" applyBorder="1"/>
    <xf numFmtId="7" fontId="0" fillId="9" borderId="4" xfId="0" applyNumberFormat="1" applyFill="1" applyBorder="1"/>
  </cellXfs>
  <cellStyles count="2">
    <cellStyle name="Monétaire [0]" xfId="1" builtinId="7"/>
    <cellStyle name="Normal" xfId="0" builtinId="0"/>
  </cellStyles>
  <dxfs count="4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76200</xdr:rowOff>
    </xdr:from>
    <xdr:to>
      <xdr:col>5</xdr:col>
      <xdr:colOff>585787</xdr:colOff>
      <xdr:row>25</xdr:row>
      <xdr:rowOff>159562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F41D103A-A88E-4B4C-88F5-47C92C295F5B}"/>
            </a:ext>
          </a:extLst>
        </xdr:cNvPr>
        <xdr:cNvGrpSpPr/>
      </xdr:nvGrpSpPr>
      <xdr:grpSpPr>
        <a:xfrm>
          <a:off x="2543175" y="2505075"/>
          <a:ext cx="2309812" cy="2559862"/>
          <a:chOff x="2543175" y="2505075"/>
          <a:chExt cx="2309812" cy="2559862"/>
        </a:xfrm>
      </xdr:grpSpPr>
      <xdr:sp macro="[0]!EnterNunberBtn" textlink="">
        <xdr:nvSpPr>
          <xdr:cNvPr id="2" name="button1">
            <a:extLst>
              <a:ext uri="{FF2B5EF4-FFF2-40B4-BE49-F238E27FC236}">
                <a16:creationId xmlns:a16="http://schemas.microsoft.com/office/drawing/2014/main" id="{D5077FBA-C1EE-4039-A353-9A3A2BB5A781}"/>
              </a:ext>
            </a:extLst>
          </xdr:cNvPr>
          <xdr:cNvSpPr/>
        </xdr:nvSpPr>
        <xdr:spPr>
          <a:xfrm>
            <a:off x="2543175" y="25050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1</a:t>
            </a:r>
          </a:p>
        </xdr:txBody>
      </xdr:sp>
      <xdr:sp macro="[0]!EnterNunberBtn" textlink="">
        <xdr:nvSpPr>
          <xdr:cNvPr id="3" name="button2">
            <a:extLst>
              <a:ext uri="{FF2B5EF4-FFF2-40B4-BE49-F238E27FC236}">
                <a16:creationId xmlns:a16="http://schemas.microsoft.com/office/drawing/2014/main" id="{C375B654-6899-4D16-84EE-1D58EA1902F4}"/>
              </a:ext>
            </a:extLst>
          </xdr:cNvPr>
          <xdr:cNvSpPr/>
        </xdr:nvSpPr>
        <xdr:spPr>
          <a:xfrm>
            <a:off x="3319463" y="25050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2</a:t>
            </a:r>
          </a:p>
        </xdr:txBody>
      </xdr:sp>
      <xdr:sp macro="[0]!EnterNunberBtn" textlink="">
        <xdr:nvSpPr>
          <xdr:cNvPr id="4" name="button3">
            <a:extLst>
              <a:ext uri="{FF2B5EF4-FFF2-40B4-BE49-F238E27FC236}">
                <a16:creationId xmlns:a16="http://schemas.microsoft.com/office/drawing/2014/main" id="{2DEA9D87-F957-4950-8D64-BDB9D6A25126}"/>
              </a:ext>
            </a:extLst>
          </xdr:cNvPr>
          <xdr:cNvSpPr/>
        </xdr:nvSpPr>
        <xdr:spPr>
          <a:xfrm>
            <a:off x="4095750" y="25050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3</a:t>
            </a:r>
          </a:p>
        </xdr:txBody>
      </xdr:sp>
      <xdr:sp macro="[0]!EnterNunberBtn" textlink="">
        <xdr:nvSpPr>
          <xdr:cNvPr id="5" name="button4">
            <a:extLst>
              <a:ext uri="{FF2B5EF4-FFF2-40B4-BE49-F238E27FC236}">
                <a16:creationId xmlns:a16="http://schemas.microsoft.com/office/drawing/2014/main" id="{58F813E7-12EE-4854-9ED6-4D4F95683282}"/>
              </a:ext>
            </a:extLst>
          </xdr:cNvPr>
          <xdr:cNvSpPr/>
        </xdr:nvSpPr>
        <xdr:spPr>
          <a:xfrm>
            <a:off x="2543175" y="31503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4</a:t>
            </a:r>
          </a:p>
        </xdr:txBody>
      </xdr:sp>
      <xdr:sp macro="[0]!EnterNunberBtn" textlink="">
        <xdr:nvSpPr>
          <xdr:cNvPr id="6" name="button5">
            <a:extLst>
              <a:ext uri="{FF2B5EF4-FFF2-40B4-BE49-F238E27FC236}">
                <a16:creationId xmlns:a16="http://schemas.microsoft.com/office/drawing/2014/main" id="{AC1ECFFC-38AE-41F4-97A1-436199D97A43}"/>
              </a:ext>
            </a:extLst>
          </xdr:cNvPr>
          <xdr:cNvSpPr/>
        </xdr:nvSpPr>
        <xdr:spPr>
          <a:xfrm>
            <a:off x="3319463" y="31503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5</a:t>
            </a:r>
          </a:p>
        </xdr:txBody>
      </xdr:sp>
      <xdr:sp macro="[0]!EnterNunberBtn" textlink="">
        <xdr:nvSpPr>
          <xdr:cNvPr id="7" name="button6">
            <a:extLst>
              <a:ext uri="{FF2B5EF4-FFF2-40B4-BE49-F238E27FC236}">
                <a16:creationId xmlns:a16="http://schemas.microsoft.com/office/drawing/2014/main" id="{DD4FF3CC-7C3E-42E8-B3FF-016656C8F9D6}"/>
              </a:ext>
            </a:extLst>
          </xdr:cNvPr>
          <xdr:cNvSpPr/>
        </xdr:nvSpPr>
        <xdr:spPr>
          <a:xfrm>
            <a:off x="4095750" y="3150375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6</a:t>
            </a:r>
          </a:p>
        </xdr:txBody>
      </xdr:sp>
      <xdr:sp macro="[0]!EnterNunberBtn" textlink="">
        <xdr:nvSpPr>
          <xdr:cNvPr id="8" name="button7">
            <a:extLst>
              <a:ext uri="{FF2B5EF4-FFF2-40B4-BE49-F238E27FC236}">
                <a16:creationId xmlns:a16="http://schemas.microsoft.com/office/drawing/2014/main" id="{78C86B42-8379-43D8-9BF1-C4D520AD5AE7}"/>
              </a:ext>
            </a:extLst>
          </xdr:cNvPr>
          <xdr:cNvSpPr/>
        </xdr:nvSpPr>
        <xdr:spPr>
          <a:xfrm>
            <a:off x="2557462" y="3803649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7</a:t>
            </a:r>
          </a:p>
        </xdr:txBody>
      </xdr:sp>
      <xdr:sp macro="[0]!EnterNunberBtn" textlink="">
        <xdr:nvSpPr>
          <xdr:cNvPr id="9" name="button8">
            <a:extLst>
              <a:ext uri="{FF2B5EF4-FFF2-40B4-BE49-F238E27FC236}">
                <a16:creationId xmlns:a16="http://schemas.microsoft.com/office/drawing/2014/main" id="{EF95344A-C551-482A-B6F9-F25180447C8B}"/>
              </a:ext>
            </a:extLst>
          </xdr:cNvPr>
          <xdr:cNvSpPr/>
        </xdr:nvSpPr>
        <xdr:spPr>
          <a:xfrm>
            <a:off x="3328987" y="3803649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8</a:t>
            </a:r>
          </a:p>
        </xdr:txBody>
      </xdr:sp>
      <xdr:sp macro="[0]!EnterNunberBtn" textlink="">
        <xdr:nvSpPr>
          <xdr:cNvPr id="10" name="button9">
            <a:extLst>
              <a:ext uri="{FF2B5EF4-FFF2-40B4-BE49-F238E27FC236}">
                <a16:creationId xmlns:a16="http://schemas.microsoft.com/office/drawing/2014/main" id="{417D0642-49E2-42A5-8E70-614ECC6519B7}"/>
              </a:ext>
            </a:extLst>
          </xdr:cNvPr>
          <xdr:cNvSpPr/>
        </xdr:nvSpPr>
        <xdr:spPr>
          <a:xfrm>
            <a:off x="4100512" y="3803649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9</a:t>
            </a:r>
          </a:p>
        </xdr:txBody>
      </xdr:sp>
      <xdr:sp macro="[0]!EnterNunberBtn" textlink="">
        <xdr:nvSpPr>
          <xdr:cNvPr id="11" name="boutton0">
            <a:extLst>
              <a:ext uri="{FF2B5EF4-FFF2-40B4-BE49-F238E27FC236}">
                <a16:creationId xmlns:a16="http://schemas.microsoft.com/office/drawing/2014/main" id="{D432515F-D7D8-49EF-A206-0C3D6FA951E5}"/>
              </a:ext>
            </a:extLst>
          </xdr:cNvPr>
          <xdr:cNvSpPr/>
        </xdr:nvSpPr>
        <xdr:spPr>
          <a:xfrm>
            <a:off x="2557462" y="4452937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0</a:t>
            </a:r>
          </a:p>
        </xdr:txBody>
      </xdr:sp>
      <xdr:sp macro="[0]!ClearItemBtn" textlink="">
        <xdr:nvSpPr>
          <xdr:cNvPr id="12" name="clearbtn">
            <a:extLst>
              <a:ext uri="{FF2B5EF4-FFF2-40B4-BE49-F238E27FC236}">
                <a16:creationId xmlns:a16="http://schemas.microsoft.com/office/drawing/2014/main" id="{E74E293B-910C-4410-8119-30EF090721D2}"/>
              </a:ext>
            </a:extLst>
          </xdr:cNvPr>
          <xdr:cNvSpPr/>
        </xdr:nvSpPr>
        <xdr:spPr>
          <a:xfrm>
            <a:off x="3333750" y="4452937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1800"/>
              <a:t>Clear</a:t>
            </a:r>
          </a:p>
        </xdr:txBody>
      </xdr:sp>
      <xdr:sp macro="[0]!EnterNunberBtn" textlink="">
        <xdr:nvSpPr>
          <xdr:cNvPr id="13" name="boutton.">
            <a:extLst>
              <a:ext uri="{FF2B5EF4-FFF2-40B4-BE49-F238E27FC236}">
                <a16:creationId xmlns:a16="http://schemas.microsoft.com/office/drawing/2014/main" id="{77552040-0F72-461D-949A-C6175024C1F2}"/>
              </a:ext>
            </a:extLst>
          </xdr:cNvPr>
          <xdr:cNvSpPr/>
        </xdr:nvSpPr>
        <xdr:spPr>
          <a:xfrm>
            <a:off x="4110037" y="4452937"/>
            <a:ext cx="742950" cy="61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CI" sz="3200"/>
              <a:t>.</a:t>
            </a:r>
          </a:p>
        </xdr:txBody>
      </xdr:sp>
    </xdr:grpSp>
    <xdr:clientData/>
  </xdr:twoCellAnchor>
  <xdr:twoCellAnchor editAs="oneCell">
    <xdr:from>
      <xdr:col>6</xdr:col>
      <xdr:colOff>704851</xdr:colOff>
      <xdr:row>10</xdr:row>
      <xdr:rowOff>171450</xdr:rowOff>
    </xdr:from>
    <xdr:to>
      <xdr:col>7</xdr:col>
      <xdr:colOff>847725</xdr:colOff>
      <xdr:row>14</xdr:row>
      <xdr:rowOff>21450</xdr:rowOff>
    </xdr:to>
    <xdr:sp macro="[0]!EnterPaytype" textlink="">
      <xdr:nvSpPr>
        <xdr:cNvPr id="17" name="cash">
          <a:extLst>
            <a:ext uri="{FF2B5EF4-FFF2-40B4-BE49-F238E27FC236}">
              <a16:creationId xmlns:a16="http://schemas.microsoft.com/office/drawing/2014/main" id="{679E2D5A-6AB4-4D42-9E1E-9FA445108D54}"/>
            </a:ext>
          </a:extLst>
        </xdr:cNvPr>
        <xdr:cNvSpPr/>
      </xdr:nvSpPr>
      <xdr:spPr>
        <a:xfrm>
          <a:off x="5476876" y="2219325"/>
          <a:ext cx="847724" cy="612000"/>
        </a:xfrm>
        <a:prstGeom prst="roundRect">
          <a:avLst>
            <a:gd name="adj" fmla="val 15111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I" sz="2400"/>
            <a:t>Cash</a:t>
          </a:r>
        </a:p>
      </xdr:txBody>
    </xdr:sp>
    <xdr:clientData/>
  </xdr:twoCellAnchor>
  <xdr:twoCellAnchor editAs="oneCell">
    <xdr:from>
      <xdr:col>7</xdr:col>
      <xdr:colOff>876300</xdr:colOff>
      <xdr:row>10</xdr:row>
      <xdr:rowOff>171450</xdr:rowOff>
    </xdr:from>
    <xdr:to>
      <xdr:col>8</xdr:col>
      <xdr:colOff>748988</xdr:colOff>
      <xdr:row>14</xdr:row>
      <xdr:rowOff>21450</xdr:rowOff>
    </xdr:to>
    <xdr:sp macro="[0]!EnterPaytype" textlink="">
      <xdr:nvSpPr>
        <xdr:cNvPr id="18" name="assurance">
          <a:extLst>
            <a:ext uri="{FF2B5EF4-FFF2-40B4-BE49-F238E27FC236}">
              <a16:creationId xmlns:a16="http://schemas.microsoft.com/office/drawing/2014/main" id="{B73E6E2C-CC88-45CA-996E-750000202666}"/>
            </a:ext>
          </a:extLst>
        </xdr:cNvPr>
        <xdr:cNvSpPr/>
      </xdr:nvSpPr>
      <xdr:spPr>
        <a:xfrm>
          <a:off x="6629400" y="2219325"/>
          <a:ext cx="844238" cy="612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I" sz="1050"/>
            <a:t>Assurance</a:t>
          </a:r>
        </a:p>
      </xdr:txBody>
    </xdr:sp>
    <xdr:clientData/>
  </xdr:twoCellAnchor>
  <xdr:twoCellAnchor editAs="oneCell">
    <xdr:from>
      <xdr:col>6</xdr:col>
      <xdr:colOff>723899</xdr:colOff>
      <xdr:row>15</xdr:row>
      <xdr:rowOff>26175</xdr:rowOff>
    </xdr:from>
    <xdr:to>
      <xdr:col>8</xdr:col>
      <xdr:colOff>638174</xdr:colOff>
      <xdr:row>18</xdr:row>
      <xdr:rowOff>66675</xdr:rowOff>
    </xdr:to>
    <xdr:sp macro="[0]!EnterPaymentCell" textlink="">
      <xdr:nvSpPr>
        <xdr:cNvPr id="20" name="button6">
          <a:extLst>
            <a:ext uri="{FF2B5EF4-FFF2-40B4-BE49-F238E27FC236}">
              <a16:creationId xmlns:a16="http://schemas.microsoft.com/office/drawing/2014/main" id="{F9215D3F-9BCD-4F7C-963D-A567FD1A9DA6}"/>
            </a:ext>
          </a:extLst>
        </xdr:cNvPr>
        <xdr:cNvSpPr/>
      </xdr:nvSpPr>
      <xdr:spPr>
        <a:xfrm>
          <a:off x="5495924" y="3026550"/>
          <a:ext cx="1609725" cy="612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I" sz="2000"/>
            <a:t>payment</a:t>
          </a:r>
        </a:p>
      </xdr:txBody>
    </xdr:sp>
    <xdr:clientData/>
  </xdr:twoCellAnchor>
  <xdr:twoCellAnchor editAs="oneCell">
    <xdr:from>
      <xdr:col>6</xdr:col>
      <xdr:colOff>714374</xdr:colOff>
      <xdr:row>18</xdr:row>
      <xdr:rowOff>140475</xdr:rowOff>
    </xdr:from>
    <xdr:to>
      <xdr:col>8</xdr:col>
      <xdr:colOff>638174</xdr:colOff>
      <xdr:row>21</xdr:row>
      <xdr:rowOff>180975</xdr:rowOff>
    </xdr:to>
    <xdr:sp macro="[0]!PrintReceipt" textlink="">
      <xdr:nvSpPr>
        <xdr:cNvPr id="21" name="button6">
          <a:extLst>
            <a:ext uri="{FF2B5EF4-FFF2-40B4-BE49-F238E27FC236}">
              <a16:creationId xmlns:a16="http://schemas.microsoft.com/office/drawing/2014/main" id="{8767A063-E140-4C4A-AAD3-47C151212DC4}"/>
            </a:ext>
          </a:extLst>
        </xdr:cNvPr>
        <xdr:cNvSpPr/>
      </xdr:nvSpPr>
      <xdr:spPr>
        <a:xfrm>
          <a:off x="5486399" y="3712350"/>
          <a:ext cx="1609725" cy="612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I" sz="2000"/>
            <a:t>Imprimer</a:t>
          </a:r>
        </a:p>
      </xdr:txBody>
    </xdr:sp>
    <xdr:clientData/>
  </xdr:twoCellAnchor>
  <xdr:twoCellAnchor editAs="oneCell">
    <xdr:from>
      <xdr:col>6</xdr:col>
      <xdr:colOff>695324</xdr:colOff>
      <xdr:row>22</xdr:row>
      <xdr:rowOff>73800</xdr:rowOff>
    </xdr:from>
    <xdr:to>
      <xdr:col>8</xdr:col>
      <xdr:colOff>638174</xdr:colOff>
      <xdr:row>25</xdr:row>
      <xdr:rowOff>114300</xdr:rowOff>
    </xdr:to>
    <xdr:sp macro="[0]!SaveAndClear" textlink="">
      <xdr:nvSpPr>
        <xdr:cNvPr id="22" name="Suivant">
          <a:extLst>
            <a:ext uri="{FF2B5EF4-FFF2-40B4-BE49-F238E27FC236}">
              <a16:creationId xmlns:a16="http://schemas.microsoft.com/office/drawing/2014/main" id="{D165A456-F685-4BF6-A0A3-423DEAD2AD9C}"/>
            </a:ext>
          </a:extLst>
        </xdr:cNvPr>
        <xdr:cNvSpPr/>
      </xdr:nvSpPr>
      <xdr:spPr>
        <a:xfrm>
          <a:off x="5467349" y="4407675"/>
          <a:ext cx="1609725" cy="612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I" sz="2000"/>
            <a:t>Suivant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13</xdr:col>
      <xdr:colOff>742950</xdr:colOff>
      <xdr:row>21</xdr:row>
      <xdr:rowOff>95250</xdr:rowOff>
    </xdr:to>
    <xdr:grpSp>
      <xdr:nvGrpSpPr>
        <xdr:cNvPr id="25" name="FooterGrp">
          <a:extLst>
            <a:ext uri="{FF2B5EF4-FFF2-40B4-BE49-F238E27FC236}">
              <a16:creationId xmlns:a16="http://schemas.microsoft.com/office/drawing/2014/main" id="{F170E456-684C-4A6E-BA2D-99042919EF3E}"/>
            </a:ext>
          </a:extLst>
        </xdr:cNvPr>
        <xdr:cNvGrpSpPr/>
      </xdr:nvGrpSpPr>
      <xdr:grpSpPr>
        <a:xfrm>
          <a:off x="8267700" y="3381375"/>
          <a:ext cx="3524250" cy="857250"/>
          <a:chOff x="7943850" y="5857875"/>
          <a:chExt cx="3228975" cy="857250"/>
        </a:xfrm>
      </xdr:grpSpPr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8BCB8ED6-BFEC-4D9C-B4A1-A6E5732A80AE}"/>
              </a:ext>
            </a:extLst>
          </xdr:cNvPr>
          <xdr:cNvSpPr txBox="1"/>
        </xdr:nvSpPr>
        <xdr:spPr>
          <a:xfrm>
            <a:off x="7943850" y="5857875"/>
            <a:ext cx="3228975" cy="2190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CI" sz="1200" b="1"/>
              <a:t>Merci et à</a:t>
            </a:r>
            <a:r>
              <a:rPr lang="fr-CI" sz="1200" b="1" baseline="0"/>
              <a:t> bientôt !</a:t>
            </a:r>
            <a:endParaRPr lang="fr-CI" sz="1200" b="1"/>
          </a:p>
        </xdr:txBody>
      </xdr:sp>
      <xdr:sp macro="" textlink="$M$6">
        <xdr:nvSpPr>
          <xdr:cNvPr id="24" name="Textbox">
            <a:extLst>
              <a:ext uri="{FF2B5EF4-FFF2-40B4-BE49-F238E27FC236}">
                <a16:creationId xmlns:a16="http://schemas.microsoft.com/office/drawing/2014/main" id="{66126DC1-8C82-4F44-9977-FCE1AD2B0D97}"/>
              </a:ext>
            </a:extLst>
          </xdr:cNvPr>
          <xdr:cNvSpPr txBox="1"/>
        </xdr:nvSpPr>
        <xdr:spPr>
          <a:xfrm>
            <a:off x="7943850" y="6267450"/>
            <a:ext cx="3228975" cy="4476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D8787E9-4B7D-43A7-9679-FB6F7C5CB562}" type="TxLink">
              <a:rPr lang="en-US" sz="1100" b="0" i="0" u="none" strike="noStrike">
                <a:solidFill>
                  <a:srgbClr val="000000"/>
                </a:solidFill>
                <a:latin typeface="Webdings" panose="05030102010509060703" pitchFamily="18" charset="2"/>
                <a:cs typeface="Calibri"/>
              </a:rPr>
              <a:pPr algn="ctr"/>
              <a:t>1</a:t>
            </a:fld>
            <a:endParaRPr lang="fr-CI" sz="1200" b="1">
              <a:latin typeface="Webdings" panose="05030102010509060703" pitchFamily="18" charset="2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7508-F9B2-40FA-9B56-57A5DCFC5FF1}">
  <sheetPr codeName="Feuil1"/>
  <dimension ref="A1:W39"/>
  <sheetViews>
    <sheetView zoomScaleNormal="100" workbookViewId="0">
      <selection activeCell="M6" sqref="M6:N6"/>
    </sheetView>
  </sheetViews>
  <sheetFormatPr baseColWidth="10" defaultRowHeight="15" x14ac:dyDescent="0.25"/>
  <cols>
    <col min="1" max="1" width="15.28515625" customWidth="1"/>
    <col min="4" max="4" width="14.42578125" customWidth="1"/>
    <col min="6" max="6" width="11.85546875" bestFit="1" customWidth="1"/>
    <col min="7" max="7" width="10.42578125" customWidth="1"/>
    <col min="8" max="8" width="14.5703125" customWidth="1"/>
    <col min="9" max="9" width="11.7109375" bestFit="1" customWidth="1"/>
    <col min="11" max="11" width="15.85546875" customWidth="1"/>
    <col min="13" max="13" width="14.42578125" customWidth="1"/>
    <col min="15" max="15" width="29" customWidth="1"/>
  </cols>
  <sheetData>
    <row r="1" spans="1:20" ht="26.25" customHeight="1" x14ac:dyDescent="0.25">
      <c r="A1" s="1" t="s">
        <v>0</v>
      </c>
      <c r="B1" s="1"/>
      <c r="C1" s="38" t="s">
        <v>20</v>
      </c>
      <c r="D1" s="38"/>
      <c r="E1" s="38"/>
      <c r="F1" s="38"/>
      <c r="G1" s="38"/>
      <c r="H1" s="38"/>
      <c r="I1" s="38"/>
      <c r="J1" s="38"/>
      <c r="K1" s="44" t="s">
        <v>9</v>
      </c>
      <c r="L1" s="35"/>
      <c r="M1" s="35"/>
      <c r="N1" s="35"/>
      <c r="O1" s="3"/>
    </row>
    <row r="2" spans="1:20" x14ac:dyDescent="0.25">
      <c r="A2" s="1"/>
      <c r="B2" s="1"/>
      <c r="C2" s="38"/>
      <c r="D2" s="38"/>
      <c r="E2" s="38"/>
      <c r="F2" s="38"/>
      <c r="G2" s="38"/>
      <c r="H2" s="38"/>
      <c r="I2" s="38"/>
      <c r="J2" s="38"/>
      <c r="K2" s="35"/>
      <c r="L2" s="35"/>
      <c r="M2" s="35"/>
      <c r="N2" s="35"/>
      <c r="O2" s="2"/>
    </row>
    <row r="3" spans="1:20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5" t="s">
        <v>10</v>
      </c>
      <c r="L3" s="45"/>
      <c r="M3" s="45"/>
      <c r="N3" s="45"/>
      <c r="O3" s="4"/>
    </row>
    <row r="4" spans="1:20" x14ac:dyDescent="0.25">
      <c r="A4" s="1"/>
      <c r="B4" s="1"/>
      <c r="C4" s="4"/>
      <c r="D4" s="6" t="s">
        <v>1</v>
      </c>
      <c r="E4" s="39" t="s">
        <v>26</v>
      </c>
      <c r="F4" s="40"/>
      <c r="G4" s="4"/>
      <c r="H4" s="13" t="s">
        <v>2</v>
      </c>
      <c r="I4" s="19">
        <f>SUMIF(K12:K999,"&lt;&gt;",N12:N999)</f>
        <v>5000</v>
      </c>
      <c r="J4" s="4"/>
      <c r="K4" s="35"/>
      <c r="L4" s="35"/>
      <c r="M4" s="35"/>
      <c r="N4" s="35"/>
      <c r="O4" s="4"/>
    </row>
    <row r="5" spans="1:20" x14ac:dyDescent="0.25">
      <c r="A5" s="15" t="s">
        <v>18</v>
      </c>
      <c r="B5" s="15" t="b">
        <v>1</v>
      </c>
      <c r="C5" s="4"/>
      <c r="D5" s="41" t="str">
        <f ca="1">IFERROR(INDEX(description,MATCH(E4,examen,0),1),"")</f>
        <v>IMMINOLOGIE</v>
      </c>
      <c r="E5" s="39"/>
      <c r="F5" s="40"/>
      <c r="G5" s="4"/>
      <c r="H5" s="13" t="s">
        <v>60</v>
      </c>
      <c r="I5" s="34" t="s">
        <v>62</v>
      </c>
      <c r="J5" s="4"/>
      <c r="K5" s="35"/>
      <c r="L5" s="35"/>
      <c r="M5" s="35"/>
      <c r="N5" s="35"/>
      <c r="O5" s="4"/>
    </row>
    <row r="6" spans="1:20" x14ac:dyDescent="0.25">
      <c r="A6" s="15" t="s">
        <v>19</v>
      </c>
      <c r="B6" s="15" t="str">
        <f ca="1">IFERROR(MATCH(E11,Activitée_ID,0)+2,"")</f>
        <v/>
      </c>
      <c r="C6" s="4"/>
      <c r="D6" s="4"/>
      <c r="E6" s="4"/>
      <c r="F6" s="4"/>
      <c r="G6" s="4"/>
      <c r="H6" s="13" t="s">
        <v>3</v>
      </c>
      <c r="I6" s="33">
        <v>10000</v>
      </c>
      <c r="J6" s="4"/>
      <c r="K6" s="5"/>
      <c r="L6" s="9" t="s">
        <v>11</v>
      </c>
      <c r="M6" s="35">
        <v>1</v>
      </c>
      <c r="N6" s="35"/>
      <c r="O6" s="4"/>
    </row>
    <row r="7" spans="1:20" x14ac:dyDescent="0.25">
      <c r="A7" s="15" t="s">
        <v>53</v>
      </c>
      <c r="B7" s="15"/>
      <c r="C7" s="4"/>
      <c r="D7" s="4"/>
      <c r="E7" s="7" t="s">
        <v>5</v>
      </c>
      <c r="F7" s="31">
        <v>3000</v>
      </c>
      <c r="G7" s="4"/>
      <c r="H7" s="13" t="s">
        <v>4</v>
      </c>
      <c r="I7" s="19">
        <f>I6 - I4</f>
        <v>5000</v>
      </c>
      <c r="J7" s="4"/>
      <c r="K7" s="5"/>
      <c r="L7" s="9" t="s">
        <v>13</v>
      </c>
      <c r="M7" s="46">
        <f ca="1">NOW()</f>
        <v>44142.326428935186</v>
      </c>
      <c r="N7" s="35"/>
      <c r="O7" s="4"/>
    </row>
    <row r="8" spans="1:20" x14ac:dyDescent="0.25">
      <c r="A8" s="15" t="s">
        <v>52</v>
      </c>
      <c r="B8" s="15">
        <f ca="1">IFERROR(MAX(NumeReçu)+1,1000)</f>
        <v>1</v>
      </c>
      <c r="C8" s="4"/>
      <c r="D8" s="4"/>
      <c r="E8" s="4"/>
      <c r="F8" s="4"/>
      <c r="G8" s="4"/>
      <c r="H8" s="4"/>
      <c r="I8" s="18"/>
      <c r="J8" s="4"/>
      <c r="K8" s="5"/>
      <c r="L8" s="9" t="s">
        <v>12</v>
      </c>
      <c r="M8" s="35" t="s">
        <v>61</v>
      </c>
      <c r="N8" s="35"/>
      <c r="O8" s="4"/>
    </row>
    <row r="9" spans="1:20" x14ac:dyDescent="0.25">
      <c r="A9" s="1"/>
      <c r="B9" s="1"/>
      <c r="C9" s="4"/>
      <c r="D9" s="4"/>
      <c r="E9" s="7" t="s">
        <v>6</v>
      </c>
      <c r="F9" s="32">
        <v>1</v>
      </c>
      <c r="G9" s="4"/>
      <c r="H9" s="4"/>
      <c r="I9" s="20"/>
      <c r="J9" s="4"/>
      <c r="K9" s="5"/>
      <c r="L9" s="9"/>
      <c r="M9" s="49"/>
      <c r="N9" s="49"/>
      <c r="O9" s="4"/>
      <c r="S9" s="14"/>
    </row>
    <row r="10" spans="1:20" x14ac:dyDescent="0.25">
      <c r="A10" s="1"/>
      <c r="B10" s="1"/>
      <c r="C10" s="4"/>
      <c r="D10" s="4"/>
      <c r="E10" s="4"/>
      <c r="F10" s="4"/>
      <c r="G10" s="4"/>
      <c r="H10" s="4" t="s">
        <v>8</v>
      </c>
      <c r="I10" s="4"/>
      <c r="J10" s="4"/>
      <c r="K10" s="5"/>
      <c r="L10" s="5"/>
      <c r="M10" s="5"/>
      <c r="N10" s="5"/>
      <c r="O10" s="4"/>
      <c r="S10" s="14"/>
    </row>
    <row r="11" spans="1:20" x14ac:dyDescent="0.25">
      <c r="A11" s="1"/>
      <c r="B11" s="1"/>
      <c r="C11" s="4"/>
      <c r="D11" s="8" t="s">
        <v>7</v>
      </c>
      <c r="E11" s="42"/>
      <c r="F11" s="43"/>
      <c r="G11" s="4"/>
      <c r="H11" s="4"/>
      <c r="I11" s="4"/>
      <c r="J11" s="4"/>
      <c r="K11" s="10" t="s">
        <v>14</v>
      </c>
      <c r="L11" s="10" t="s">
        <v>15</v>
      </c>
      <c r="M11" s="10" t="s">
        <v>16</v>
      </c>
      <c r="N11" s="10" t="s">
        <v>17</v>
      </c>
      <c r="O11" s="4"/>
      <c r="S11" s="14"/>
      <c r="T11" s="16"/>
    </row>
    <row r="12" spans="1:20" x14ac:dyDescent="0.25">
      <c r="A12" s="1"/>
      <c r="B12" s="1"/>
      <c r="C12" s="4"/>
      <c r="D12" s="4"/>
      <c r="E12" s="4"/>
      <c r="F12" s="4"/>
      <c r="G12" s="4"/>
      <c r="H12" s="4"/>
      <c r="I12" s="4"/>
      <c r="J12" s="4"/>
      <c r="K12" s="5" t="s">
        <v>25</v>
      </c>
      <c r="L12" s="11">
        <v>1</v>
      </c>
      <c r="M12" s="12">
        <v>2000</v>
      </c>
      <c r="N12" s="12">
        <f>L12*M12</f>
        <v>2000</v>
      </c>
      <c r="O12" s="4"/>
      <c r="Q12" s="30" t="s">
        <v>2</v>
      </c>
      <c r="R12" s="16">
        <f>I4</f>
        <v>5000</v>
      </c>
      <c r="S12" s="14"/>
    </row>
    <row r="13" spans="1:20" x14ac:dyDescent="0.25">
      <c r="A13" s="1"/>
      <c r="B13" s="1"/>
      <c r="C13" s="4"/>
      <c r="D13" s="4" t="s">
        <v>0</v>
      </c>
      <c r="E13" s="4"/>
      <c r="F13" s="4"/>
      <c r="G13" s="4"/>
      <c r="H13" s="4"/>
      <c r="I13" s="4"/>
      <c r="J13" s="4"/>
      <c r="K13" s="5" t="s">
        <v>26</v>
      </c>
      <c r="L13" s="11">
        <v>1</v>
      </c>
      <c r="M13" s="12">
        <v>3000</v>
      </c>
      <c r="N13" s="12">
        <f>L13*M13</f>
        <v>3000</v>
      </c>
      <c r="O13" s="4"/>
      <c r="Q13" s="30" t="s">
        <v>3</v>
      </c>
      <c r="R13">
        <f>I6</f>
        <v>10000</v>
      </c>
      <c r="S13" s="14"/>
    </row>
    <row r="14" spans="1:20" x14ac:dyDescent="0.25">
      <c r="A14" s="1"/>
      <c r="B14" s="1"/>
      <c r="C14" s="4"/>
      <c r="D14" s="4"/>
      <c r="E14" s="4"/>
      <c r="F14" s="4"/>
      <c r="G14" s="4"/>
      <c r="H14" s="4"/>
      <c r="I14" s="4"/>
      <c r="J14" s="4"/>
      <c r="K14" s="5"/>
      <c r="L14" s="11"/>
      <c r="M14" s="12" t="s">
        <v>2</v>
      </c>
      <c r="N14" s="12">
        <v>5000</v>
      </c>
      <c r="O14" s="4"/>
      <c r="Q14" s="30" t="s">
        <v>4</v>
      </c>
      <c r="R14" s="16">
        <f>I6-I4</f>
        <v>5000</v>
      </c>
      <c r="S14" s="14"/>
      <c r="T14" s="16"/>
    </row>
    <row r="15" spans="1:20" x14ac:dyDescent="0.25">
      <c r="A15" s="1"/>
      <c r="B15" s="1"/>
      <c r="C15" s="4"/>
      <c r="D15" s="4"/>
      <c r="E15" s="4"/>
      <c r="F15" s="4"/>
      <c r="G15" s="4"/>
      <c r="H15" s="4"/>
      <c r="I15" s="4"/>
      <c r="J15" s="4"/>
      <c r="K15" s="5"/>
      <c r="L15" s="11"/>
      <c r="M15" s="12" t="s">
        <v>3</v>
      </c>
      <c r="N15" s="12">
        <v>10000</v>
      </c>
      <c r="O15" s="4"/>
    </row>
    <row r="16" spans="1:20" x14ac:dyDescent="0.25">
      <c r="A16" s="1"/>
      <c r="B16" s="1"/>
      <c r="C16" s="4"/>
      <c r="D16" s="4"/>
      <c r="E16" s="4"/>
      <c r="F16" s="4"/>
      <c r="G16" s="4"/>
      <c r="H16" s="4"/>
      <c r="I16" s="4"/>
      <c r="J16" s="4"/>
      <c r="K16" s="5"/>
      <c r="L16" s="11"/>
      <c r="M16" s="12" t="s">
        <v>4</v>
      </c>
      <c r="N16" s="12">
        <v>5000</v>
      </c>
      <c r="O16" s="4"/>
    </row>
    <row r="17" spans="1:23" x14ac:dyDescent="0.25">
      <c r="A17" s="1"/>
      <c r="B17" s="1"/>
      <c r="C17" s="4"/>
      <c r="D17" s="4"/>
      <c r="E17" s="4"/>
      <c r="F17" s="4"/>
      <c r="G17" s="4"/>
      <c r="H17" s="4"/>
      <c r="I17" s="4"/>
      <c r="J17" s="4"/>
      <c r="K17" s="5"/>
      <c r="L17" s="11"/>
      <c r="M17" s="12"/>
      <c r="N17" s="12"/>
      <c r="O17" s="4"/>
    </row>
    <row r="18" spans="1:23" x14ac:dyDescent="0.25">
      <c r="A18" s="1"/>
      <c r="B18" s="1"/>
      <c r="C18" s="4"/>
      <c r="D18" s="4"/>
      <c r="E18" s="4"/>
      <c r="F18" s="4"/>
      <c r="G18" s="4"/>
      <c r="H18" s="4"/>
      <c r="I18" s="4"/>
      <c r="J18" s="4"/>
      <c r="K18" s="5"/>
      <c r="L18" s="11"/>
      <c r="M18" s="12"/>
      <c r="N18" s="12"/>
      <c r="O18" s="4"/>
    </row>
    <row r="19" spans="1:23" x14ac:dyDescent="0.25">
      <c r="A19" s="1"/>
      <c r="B19" s="1"/>
      <c r="C19" s="4"/>
      <c r="D19" s="4"/>
      <c r="E19" s="4"/>
      <c r="F19" s="4"/>
      <c r="G19" s="4"/>
      <c r="H19" s="4"/>
      <c r="I19" s="4"/>
      <c r="J19" s="4"/>
      <c r="K19" s="5"/>
      <c r="L19" s="11"/>
      <c r="M19" s="12"/>
      <c r="N19" s="12"/>
      <c r="O19" s="4"/>
    </row>
    <row r="20" spans="1:23" x14ac:dyDescent="0.25">
      <c r="A20" s="1"/>
      <c r="B20" s="1"/>
      <c r="C20" s="4"/>
      <c r="D20" s="4"/>
      <c r="E20" s="4"/>
      <c r="F20" s="4"/>
      <c r="G20" s="4"/>
      <c r="H20" s="4"/>
      <c r="I20" s="4"/>
      <c r="J20" s="4"/>
      <c r="K20" s="5"/>
      <c r="L20" s="11"/>
      <c r="M20" s="12"/>
      <c r="N20" s="12"/>
      <c r="O20" s="4"/>
      <c r="Q20" s="14"/>
    </row>
    <row r="21" spans="1:23" x14ac:dyDescent="0.25">
      <c r="A21" s="1"/>
      <c r="B21" s="1"/>
      <c r="C21" s="4"/>
      <c r="D21" s="4"/>
      <c r="E21" s="4"/>
      <c r="F21" s="4"/>
      <c r="G21" s="4"/>
      <c r="H21" s="4"/>
      <c r="I21" s="4"/>
      <c r="J21" s="4"/>
      <c r="K21" s="5"/>
      <c r="L21" s="11"/>
      <c r="M21" s="12"/>
      <c r="N21" s="12"/>
      <c r="O21" s="4"/>
      <c r="Q21" s="14"/>
      <c r="U21" s="5"/>
      <c r="V21" s="11"/>
      <c r="W21" s="12"/>
    </row>
    <row r="22" spans="1:23" x14ac:dyDescent="0.25">
      <c r="A22" s="1"/>
      <c r="B22" s="1"/>
      <c r="C22" s="4"/>
      <c r="D22" s="4"/>
      <c r="E22" s="4"/>
      <c r="F22" s="4" t="s">
        <v>59</v>
      </c>
      <c r="G22" s="4" t="s">
        <v>8</v>
      </c>
      <c r="H22" s="4"/>
      <c r="I22" s="4"/>
      <c r="J22" s="4"/>
      <c r="K22" s="5"/>
      <c r="L22" s="11"/>
      <c r="M22" s="12"/>
      <c r="N22" s="12"/>
      <c r="O22" s="4"/>
      <c r="Q22" s="14"/>
      <c r="U22" s="5"/>
      <c r="V22" s="11"/>
      <c r="W22" s="12"/>
    </row>
    <row r="23" spans="1:23" x14ac:dyDescent="0.25">
      <c r="A23" s="1"/>
      <c r="B23" s="1"/>
      <c r="C23" s="4"/>
      <c r="D23" s="4"/>
      <c r="E23" s="4"/>
      <c r="F23" s="4"/>
      <c r="G23" s="4"/>
      <c r="H23" s="4"/>
      <c r="I23" s="4"/>
      <c r="J23" s="4"/>
      <c r="K23" s="5"/>
      <c r="L23" s="11"/>
      <c r="M23" s="14"/>
      <c r="N23" s="12"/>
      <c r="O23" s="4"/>
      <c r="Q23" s="14"/>
      <c r="U23" s="5"/>
      <c r="V23" s="11"/>
      <c r="W23" s="12"/>
    </row>
    <row r="24" spans="1:23" x14ac:dyDescent="0.25">
      <c r="A24" s="1"/>
      <c r="B24" s="1"/>
      <c r="C24" s="4"/>
      <c r="D24" s="4"/>
      <c r="E24" s="4"/>
      <c r="F24" s="4"/>
      <c r="G24" s="4"/>
      <c r="H24" s="4"/>
      <c r="I24" s="4"/>
      <c r="J24" s="4"/>
      <c r="K24" s="5"/>
      <c r="L24" s="11"/>
      <c r="M24" s="14"/>
      <c r="N24" s="12"/>
      <c r="O24" s="4"/>
      <c r="Q24" s="14"/>
      <c r="U24" s="5"/>
      <c r="V24" s="11"/>
      <c r="W24" s="12"/>
    </row>
    <row r="25" spans="1:23" x14ac:dyDescent="0.25">
      <c r="A25" s="1"/>
      <c r="B25" s="1"/>
      <c r="C25" s="4"/>
      <c r="D25" s="4"/>
      <c r="E25" s="4"/>
      <c r="F25" s="4"/>
      <c r="G25" s="4"/>
      <c r="H25" s="4"/>
      <c r="I25" s="4"/>
      <c r="J25" s="4"/>
      <c r="K25" s="5"/>
      <c r="L25" s="11"/>
      <c r="M25" s="14"/>
      <c r="N25" s="12"/>
      <c r="O25" s="4"/>
    </row>
    <row r="26" spans="1:23" x14ac:dyDescent="0.25">
      <c r="A26" s="1"/>
      <c r="B26" s="1"/>
      <c r="C26" s="4"/>
      <c r="D26" s="4"/>
      <c r="E26" s="4"/>
      <c r="F26" s="4"/>
      <c r="G26" s="4"/>
      <c r="H26" s="4"/>
      <c r="I26" s="4"/>
      <c r="J26" s="4"/>
      <c r="K26" s="5"/>
      <c r="L26" s="11"/>
      <c r="M26" s="14"/>
      <c r="N26" s="12"/>
      <c r="O26" s="4"/>
    </row>
    <row r="27" spans="1:23" x14ac:dyDescent="0.25">
      <c r="A27" s="1"/>
      <c r="B27" s="1"/>
      <c r="C27" s="4"/>
      <c r="D27" s="4"/>
      <c r="E27" s="4"/>
      <c r="F27" s="4"/>
      <c r="G27" s="4"/>
      <c r="H27" s="4"/>
      <c r="I27" s="4"/>
      <c r="J27" s="4"/>
      <c r="K27" s="5"/>
      <c r="L27" s="11"/>
      <c r="M27" s="14"/>
      <c r="N27" s="12"/>
      <c r="O27" s="4"/>
    </row>
    <row r="28" spans="1:23" x14ac:dyDescent="0.25">
      <c r="A28" s="1"/>
      <c r="B28" s="1"/>
      <c r="C28" s="4"/>
      <c r="D28" s="4"/>
      <c r="E28" s="4"/>
      <c r="F28" s="4"/>
      <c r="G28" s="4"/>
      <c r="H28" s="4"/>
      <c r="I28" s="4"/>
      <c r="J28" s="4"/>
      <c r="K28" s="5"/>
      <c r="L28" s="11"/>
      <c r="M28" s="14"/>
      <c r="N28" s="12"/>
      <c r="O28" s="4"/>
    </row>
    <row r="29" spans="1:23" x14ac:dyDescent="0.25">
      <c r="A29" s="1"/>
      <c r="B29" s="1"/>
      <c r="C29" s="4"/>
      <c r="D29" s="4"/>
      <c r="E29" s="4"/>
      <c r="F29" s="4"/>
      <c r="G29" s="4"/>
      <c r="H29" s="4"/>
      <c r="I29" s="4"/>
      <c r="J29" s="4"/>
      <c r="K29" s="5"/>
      <c r="L29" s="11"/>
      <c r="M29" s="12"/>
      <c r="N29" s="12"/>
      <c r="O29" s="4"/>
    </row>
    <row r="30" spans="1:23" x14ac:dyDescent="0.25">
      <c r="A30" s="1"/>
      <c r="B30" s="1"/>
      <c r="C30" s="4"/>
      <c r="D30" s="4"/>
      <c r="E30" s="4"/>
      <c r="F30" s="4"/>
      <c r="G30" s="4"/>
      <c r="H30" s="4"/>
      <c r="I30" s="4"/>
      <c r="J30" s="4"/>
      <c r="K30" s="5"/>
      <c r="L30" s="11"/>
      <c r="M30" s="12"/>
      <c r="N30" s="12"/>
      <c r="O30" s="4"/>
    </row>
    <row r="31" spans="1:23" ht="15.75" x14ac:dyDescent="0.25">
      <c r="A31" s="1"/>
      <c r="B31" s="1"/>
      <c r="C31" s="4"/>
      <c r="D31" s="4"/>
      <c r="E31" s="4"/>
      <c r="F31" s="4"/>
      <c r="G31" s="4"/>
      <c r="H31" s="4"/>
      <c r="I31" s="4"/>
      <c r="J31" s="4"/>
      <c r="K31" s="36"/>
      <c r="L31" s="35"/>
      <c r="M31" s="35"/>
      <c r="N31" s="35"/>
      <c r="O31" s="4"/>
    </row>
    <row r="32" spans="1:23" x14ac:dyDescent="0.25">
      <c r="A32" s="1"/>
      <c r="B32" s="1"/>
      <c r="C32" s="4"/>
      <c r="D32" s="4"/>
      <c r="E32" s="4"/>
      <c r="F32" s="4"/>
      <c r="G32" s="4"/>
      <c r="H32" s="4"/>
      <c r="I32" s="4"/>
      <c r="J32" s="4"/>
      <c r="K32" s="37"/>
      <c r="L32" s="37"/>
      <c r="M32" s="37"/>
      <c r="N32" s="37"/>
      <c r="O32" s="4"/>
    </row>
    <row r="33" spans="1:15" x14ac:dyDescent="0.25">
      <c r="A33" s="1"/>
      <c r="B33" s="1"/>
      <c r="C33" s="4"/>
      <c r="D33" s="4"/>
      <c r="E33" s="4"/>
      <c r="F33" s="4"/>
      <c r="G33" s="4"/>
      <c r="H33" s="4"/>
      <c r="I33" s="4"/>
      <c r="J33" s="4"/>
      <c r="K33" s="37"/>
      <c r="L33" s="37"/>
      <c r="M33" s="37"/>
      <c r="N33" s="37"/>
      <c r="O33" s="4"/>
    </row>
    <row r="34" spans="1:15" x14ac:dyDescent="0.25">
      <c r="A34" s="1"/>
      <c r="B34" s="1"/>
      <c r="C34" s="4"/>
      <c r="D34" s="4"/>
      <c r="E34" s="4"/>
      <c r="F34" s="4"/>
      <c r="G34" s="4"/>
      <c r="H34" s="4"/>
      <c r="I34" s="4"/>
      <c r="J34" s="4"/>
      <c r="K34" s="37"/>
      <c r="L34" s="37"/>
      <c r="M34" s="37"/>
      <c r="N34" s="37"/>
      <c r="O34" s="4"/>
    </row>
    <row r="35" spans="1:15" x14ac:dyDescent="0.25">
      <c r="A35" s="1"/>
      <c r="B35" s="1"/>
      <c r="C35" s="4"/>
      <c r="D35" s="4"/>
      <c r="E35" s="4"/>
      <c r="F35" s="4"/>
      <c r="G35" s="4"/>
      <c r="H35" s="4"/>
      <c r="I35" s="4"/>
      <c r="J35" s="4"/>
      <c r="K35" s="5"/>
      <c r="L35" s="11"/>
      <c r="M35" s="12"/>
      <c r="N35" s="12"/>
      <c r="O35" s="4"/>
    </row>
    <row r="36" spans="1:15" x14ac:dyDescent="0.25">
      <c r="A36" s="1"/>
      <c r="B36" s="1"/>
      <c r="C36" s="4"/>
      <c r="D36" s="4"/>
      <c r="E36" s="4"/>
      <c r="F36" s="4"/>
      <c r="G36" s="4"/>
      <c r="H36" s="4"/>
      <c r="I36" s="4"/>
      <c r="J36" s="4"/>
      <c r="K36" s="5"/>
      <c r="L36" s="11"/>
      <c r="M36" s="12"/>
      <c r="N36" s="12"/>
      <c r="O36" s="4"/>
    </row>
    <row r="37" spans="1:15" x14ac:dyDescent="0.25">
      <c r="A37" s="1"/>
      <c r="B37" s="1"/>
      <c r="C37" s="4"/>
      <c r="D37" s="4"/>
      <c r="E37" s="4"/>
      <c r="F37" s="4"/>
      <c r="G37" s="4"/>
      <c r="H37" s="4"/>
      <c r="I37" s="4"/>
      <c r="J37" s="4"/>
      <c r="K37" s="5"/>
      <c r="L37" s="11"/>
      <c r="M37" s="12"/>
      <c r="N37" s="12"/>
      <c r="O37" s="4"/>
    </row>
    <row r="38" spans="1:15" x14ac:dyDescent="0.25">
      <c r="A38" s="1"/>
      <c r="B38" s="1"/>
    </row>
    <row r="39" spans="1:15" x14ac:dyDescent="0.25">
      <c r="A39" s="1"/>
      <c r="B39" s="1"/>
    </row>
  </sheetData>
  <mergeCells count="14">
    <mergeCell ref="M9:N9"/>
    <mergeCell ref="M6:N6"/>
    <mergeCell ref="K31:N31"/>
    <mergeCell ref="K32:N34"/>
    <mergeCell ref="C1:J2"/>
    <mergeCell ref="E4:F4"/>
    <mergeCell ref="D5:F5"/>
    <mergeCell ref="E11:F11"/>
    <mergeCell ref="K1:N2"/>
    <mergeCell ref="K3:N3"/>
    <mergeCell ref="K4:N4"/>
    <mergeCell ref="K5:N5"/>
    <mergeCell ref="M8:N8"/>
    <mergeCell ref="M7:N7"/>
  </mergeCells>
  <conditionalFormatting sqref="K12:N56">
    <cfRule type="expression" dxfId="3" priority="4">
      <formula>$B$7=ROW()</formula>
    </cfRule>
  </conditionalFormatting>
  <conditionalFormatting sqref="Q20:Q24">
    <cfRule type="expression" dxfId="2" priority="3">
      <formula>$B$7=ROW()</formula>
    </cfRule>
  </conditionalFormatting>
  <conditionalFormatting sqref="K12:N105">
    <cfRule type="expression" dxfId="1" priority="2">
      <formula>$M12="Total:"</formula>
    </cfRule>
  </conditionalFormatting>
  <conditionalFormatting sqref="K12:N43">
    <cfRule type="expression" dxfId="0" priority="1">
      <formula>$M13="Payement:"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6201-F6F2-4C20-AC0F-DCF25D08D1FB}">
  <sheetPr codeName="Feuil2"/>
  <dimension ref="A1:G15"/>
  <sheetViews>
    <sheetView tabSelected="1" workbookViewId="0">
      <selection activeCell="E15" sqref="E15"/>
    </sheetView>
  </sheetViews>
  <sheetFormatPr baseColWidth="10" defaultRowHeight="15" x14ac:dyDescent="0.25"/>
  <cols>
    <col min="3" max="3" width="15.7109375" bestFit="1" customWidth="1"/>
    <col min="6" max="7" width="11.85546875" bestFit="1" customWidth="1"/>
  </cols>
  <sheetData>
    <row r="1" spans="1:7" x14ac:dyDescent="0.25">
      <c r="A1" s="47"/>
      <c r="B1" s="47"/>
      <c r="C1" s="47"/>
      <c r="D1" s="47"/>
      <c r="E1" s="47"/>
      <c r="F1" s="47"/>
      <c r="G1" s="47"/>
    </row>
    <row r="2" spans="1:7" x14ac:dyDescent="0.25">
      <c r="A2" s="17"/>
      <c r="B2" s="17">
        <v>1</v>
      </c>
      <c r="C2" s="52">
        <v>44142.324791666666</v>
      </c>
      <c r="D2" s="17">
        <v>1001</v>
      </c>
      <c r="E2" s="17"/>
      <c r="F2" s="53"/>
      <c r="G2" s="53"/>
    </row>
    <row r="3" spans="1:7" x14ac:dyDescent="0.25">
      <c r="B3">
        <v>1000</v>
      </c>
      <c r="C3" s="50">
        <v>44142.321736111109</v>
      </c>
    </row>
    <row r="4" spans="1:7" x14ac:dyDescent="0.25">
      <c r="B4">
        <v>1</v>
      </c>
      <c r="C4" s="50">
        <v>44142.32172453704</v>
      </c>
    </row>
    <row r="7" spans="1:7" x14ac:dyDescent="0.25">
      <c r="B7">
        <v>1</v>
      </c>
      <c r="C7" s="50">
        <v>44142.32172453704</v>
      </c>
      <c r="D7" t="s">
        <v>14</v>
      </c>
      <c r="E7" t="s">
        <v>15</v>
      </c>
      <c r="F7" t="s">
        <v>16</v>
      </c>
      <c r="G7" t="s">
        <v>17</v>
      </c>
    </row>
    <row r="8" spans="1:7" x14ac:dyDescent="0.25">
      <c r="B8">
        <v>1</v>
      </c>
      <c r="C8" s="50">
        <v>44142.32172453704</v>
      </c>
      <c r="F8" s="51"/>
      <c r="G8" s="51"/>
    </row>
    <row r="9" spans="1:7" x14ac:dyDescent="0.25">
      <c r="B9">
        <v>25666</v>
      </c>
      <c r="C9" s="50">
        <v>44142.320208333331</v>
      </c>
      <c r="D9" t="s">
        <v>26</v>
      </c>
      <c r="E9">
        <v>1</v>
      </c>
      <c r="F9" s="51">
        <v>3000</v>
      </c>
      <c r="G9" s="51">
        <v>3000</v>
      </c>
    </row>
    <row r="10" spans="1:7" x14ac:dyDescent="0.25">
      <c r="B10">
        <v>25666</v>
      </c>
      <c r="C10" s="50">
        <v>44142.320208333331</v>
      </c>
      <c r="D10" t="s">
        <v>25</v>
      </c>
      <c r="E10">
        <v>1</v>
      </c>
      <c r="F10" s="51">
        <v>2000</v>
      </c>
      <c r="G10" s="51">
        <v>2000</v>
      </c>
    </row>
    <row r="11" spans="1:7" x14ac:dyDescent="0.25">
      <c r="B11">
        <v>25666</v>
      </c>
      <c r="C11" s="50">
        <v>44142.320208333331</v>
      </c>
      <c r="D11" t="s">
        <v>28</v>
      </c>
      <c r="E11">
        <v>1</v>
      </c>
      <c r="F11" s="51">
        <v>2000</v>
      </c>
      <c r="G11" s="51">
        <v>2000</v>
      </c>
    </row>
    <row r="12" spans="1:7" x14ac:dyDescent="0.25">
      <c r="B12">
        <v>25666</v>
      </c>
      <c r="C12" s="50">
        <v>44142.320208333331</v>
      </c>
      <c r="D12" t="s">
        <v>31</v>
      </c>
      <c r="E12">
        <v>1</v>
      </c>
      <c r="F12" s="51">
        <v>3500</v>
      </c>
      <c r="G12" s="51">
        <v>3500</v>
      </c>
    </row>
    <row r="13" spans="1:7" x14ac:dyDescent="0.25">
      <c r="B13">
        <v>25666</v>
      </c>
      <c r="C13" s="50">
        <v>44142.320208333331</v>
      </c>
      <c r="D13" t="s">
        <v>32</v>
      </c>
      <c r="E13">
        <v>1</v>
      </c>
      <c r="F13" s="51">
        <v>3500</v>
      </c>
      <c r="G13" s="51">
        <v>3500</v>
      </c>
    </row>
    <row r="14" spans="1:7" x14ac:dyDescent="0.25">
      <c r="B14">
        <v>25666</v>
      </c>
      <c r="C14" s="50">
        <v>44142.320208333331</v>
      </c>
      <c r="D14" t="s">
        <v>26</v>
      </c>
      <c r="E14">
        <v>1</v>
      </c>
      <c r="F14" s="51">
        <v>3000</v>
      </c>
      <c r="G14" s="51">
        <v>3000</v>
      </c>
    </row>
    <row r="15" spans="1:7" x14ac:dyDescent="0.25">
      <c r="B15">
        <v>25666</v>
      </c>
      <c r="C15" s="50">
        <v>44142.320208333331</v>
      </c>
      <c r="D15" t="s">
        <v>28</v>
      </c>
      <c r="E15">
        <v>1</v>
      </c>
      <c r="F15" s="51">
        <v>2000</v>
      </c>
      <c r="G15" s="51">
        <v>2000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A360-B4C8-4309-9B37-F93566867073}">
  <sheetPr codeName="Feuil3"/>
  <dimension ref="A1:G27"/>
  <sheetViews>
    <sheetView workbookViewId="0">
      <selection activeCell="F5" sqref="F5"/>
    </sheetView>
  </sheetViews>
  <sheetFormatPr baseColWidth="10" defaultRowHeight="15" x14ac:dyDescent="0.25"/>
  <cols>
    <col min="2" max="2" width="17.85546875" customWidth="1"/>
    <col min="3" max="3" width="15" style="29" customWidth="1"/>
    <col min="4" max="4" width="12.28515625" style="23" customWidth="1"/>
    <col min="5" max="5" width="16.140625" style="23" customWidth="1"/>
  </cols>
  <sheetData>
    <row r="1" spans="1:6" x14ac:dyDescent="0.25">
      <c r="A1" s="48" t="s">
        <v>21</v>
      </c>
      <c r="B1" s="48"/>
      <c r="C1" s="48"/>
      <c r="D1" s="48"/>
      <c r="E1" s="48"/>
      <c r="F1" s="48"/>
    </row>
    <row r="2" spans="1:6" x14ac:dyDescent="0.25">
      <c r="A2" s="25" t="s">
        <v>22</v>
      </c>
      <c r="B2" s="21" t="s">
        <v>54</v>
      </c>
      <c r="C2" s="22" t="s">
        <v>55</v>
      </c>
      <c r="D2" s="24" t="s">
        <v>23</v>
      </c>
      <c r="E2" s="27" t="s">
        <v>58</v>
      </c>
      <c r="F2" s="22" t="s">
        <v>24</v>
      </c>
    </row>
    <row r="3" spans="1:6" x14ac:dyDescent="0.25">
      <c r="A3" s="26">
        <v>1001</v>
      </c>
      <c r="B3" t="s">
        <v>25</v>
      </c>
      <c r="C3" s="29" t="s">
        <v>48</v>
      </c>
      <c r="D3" s="23">
        <v>6000</v>
      </c>
      <c r="E3" s="28">
        <v>2000</v>
      </c>
      <c r="F3" s="29" t="s">
        <v>35</v>
      </c>
    </row>
    <row r="4" spans="1:6" x14ac:dyDescent="0.25">
      <c r="A4" s="26">
        <v>1002</v>
      </c>
      <c r="B4" t="s">
        <v>26</v>
      </c>
      <c r="C4" s="29" t="s">
        <v>57</v>
      </c>
      <c r="D4" s="23">
        <v>8000</v>
      </c>
      <c r="E4" s="28">
        <v>3000</v>
      </c>
      <c r="F4" s="29" t="s">
        <v>36</v>
      </c>
    </row>
    <row r="5" spans="1:6" x14ac:dyDescent="0.25">
      <c r="A5" s="26">
        <v>1003</v>
      </c>
      <c r="B5" t="s">
        <v>27</v>
      </c>
      <c r="C5" s="29" t="s">
        <v>57</v>
      </c>
      <c r="D5" s="23">
        <v>6000</v>
      </c>
      <c r="E5" s="28">
        <v>2000</v>
      </c>
      <c r="F5" s="29" t="s">
        <v>35</v>
      </c>
    </row>
    <row r="6" spans="1:6" x14ac:dyDescent="0.25">
      <c r="A6" s="26">
        <v>1004</v>
      </c>
      <c r="B6" t="s">
        <v>28</v>
      </c>
      <c r="C6" s="29" t="s">
        <v>57</v>
      </c>
      <c r="D6" s="23">
        <v>6000</v>
      </c>
      <c r="E6" s="28">
        <v>2000</v>
      </c>
      <c r="F6" s="29" t="s">
        <v>35</v>
      </c>
    </row>
    <row r="7" spans="1:6" x14ac:dyDescent="0.25">
      <c r="A7" s="26">
        <v>1005</v>
      </c>
      <c r="B7" t="s">
        <v>29</v>
      </c>
      <c r="C7" s="29" t="s">
        <v>57</v>
      </c>
      <c r="D7" s="23">
        <v>4000</v>
      </c>
      <c r="E7" s="28">
        <v>1000</v>
      </c>
      <c r="F7" s="29" t="s">
        <v>37</v>
      </c>
    </row>
    <row r="8" spans="1:6" x14ac:dyDescent="0.25">
      <c r="A8" s="26">
        <v>1006</v>
      </c>
      <c r="B8" t="s">
        <v>30</v>
      </c>
      <c r="C8" s="29" t="s">
        <v>57</v>
      </c>
      <c r="D8" s="23">
        <v>8000</v>
      </c>
      <c r="E8" s="28">
        <v>3000</v>
      </c>
      <c r="F8" s="29" t="s">
        <v>36</v>
      </c>
    </row>
    <row r="9" spans="1:6" x14ac:dyDescent="0.25">
      <c r="A9" s="26">
        <v>1007</v>
      </c>
      <c r="B9" t="s">
        <v>31</v>
      </c>
      <c r="C9" s="29" t="s">
        <v>57</v>
      </c>
      <c r="D9" s="23">
        <v>10000</v>
      </c>
      <c r="E9" s="28">
        <v>3500</v>
      </c>
      <c r="F9" s="29" t="s">
        <v>38</v>
      </c>
    </row>
    <row r="10" spans="1:6" x14ac:dyDescent="0.25">
      <c r="A10" s="26">
        <v>1008</v>
      </c>
      <c r="B10" t="s">
        <v>32</v>
      </c>
      <c r="C10" s="29" t="s">
        <v>57</v>
      </c>
      <c r="D10" s="23">
        <v>10000</v>
      </c>
      <c r="E10" s="28">
        <v>3500</v>
      </c>
      <c r="F10" s="29" t="s">
        <v>38</v>
      </c>
    </row>
    <row r="11" spans="1:6" x14ac:dyDescent="0.25">
      <c r="A11" s="26">
        <v>1009</v>
      </c>
      <c r="B11" t="s">
        <v>40</v>
      </c>
      <c r="C11" s="29" t="s">
        <v>49</v>
      </c>
      <c r="D11" s="23">
        <v>2000</v>
      </c>
      <c r="E11" s="28">
        <v>1000</v>
      </c>
      <c r="F11" s="29" t="s">
        <v>39</v>
      </c>
    </row>
    <row r="12" spans="1:6" x14ac:dyDescent="0.25">
      <c r="A12" s="26">
        <v>1010</v>
      </c>
      <c r="B12" t="s">
        <v>33</v>
      </c>
      <c r="C12" s="29" t="s">
        <v>50</v>
      </c>
      <c r="D12" s="23">
        <v>4000</v>
      </c>
      <c r="E12" s="28">
        <v>1500</v>
      </c>
      <c r="F12" s="29" t="s">
        <v>37</v>
      </c>
    </row>
    <row r="13" spans="1:6" x14ac:dyDescent="0.25">
      <c r="A13" s="26">
        <v>1011</v>
      </c>
      <c r="B13" t="s">
        <v>34</v>
      </c>
      <c r="C13" s="29" t="s">
        <v>50</v>
      </c>
      <c r="D13" s="23">
        <v>4000</v>
      </c>
      <c r="E13" s="28">
        <v>1500</v>
      </c>
      <c r="F13" s="29" t="s">
        <v>37</v>
      </c>
    </row>
    <row r="14" spans="1:6" x14ac:dyDescent="0.25">
      <c r="A14" s="26">
        <v>1012</v>
      </c>
      <c r="B14" t="s">
        <v>41</v>
      </c>
      <c r="C14" s="29" t="s">
        <v>50</v>
      </c>
      <c r="D14" s="23">
        <v>4000</v>
      </c>
      <c r="E14" s="28">
        <v>1500</v>
      </c>
      <c r="F14" s="29" t="s">
        <v>37</v>
      </c>
    </row>
    <row r="15" spans="1:6" x14ac:dyDescent="0.25">
      <c r="A15" s="26">
        <v>1013</v>
      </c>
      <c r="B15" t="s">
        <v>42</v>
      </c>
      <c r="C15" s="29" t="s">
        <v>50</v>
      </c>
      <c r="D15" s="23">
        <v>4000</v>
      </c>
      <c r="E15" s="28">
        <v>1500</v>
      </c>
      <c r="F15" s="29" t="s">
        <v>37</v>
      </c>
    </row>
    <row r="16" spans="1:6" x14ac:dyDescent="0.25">
      <c r="A16" s="26">
        <v>1014</v>
      </c>
      <c r="B16" t="s">
        <v>43</v>
      </c>
      <c r="C16" s="29" t="s">
        <v>50</v>
      </c>
      <c r="D16" s="23">
        <v>2000</v>
      </c>
      <c r="E16" s="28">
        <v>1000</v>
      </c>
      <c r="F16" s="29" t="s">
        <v>39</v>
      </c>
    </row>
    <row r="17" spans="1:7" x14ac:dyDescent="0.25">
      <c r="A17" s="26">
        <v>1015</v>
      </c>
      <c r="B17" t="s">
        <v>44</v>
      </c>
      <c r="C17" s="29" t="s">
        <v>50</v>
      </c>
      <c r="D17" s="23">
        <v>2000</v>
      </c>
      <c r="E17" s="28">
        <v>1000</v>
      </c>
      <c r="F17" s="29" t="s">
        <v>39</v>
      </c>
    </row>
    <row r="18" spans="1:7" x14ac:dyDescent="0.25">
      <c r="A18" s="26">
        <v>1016</v>
      </c>
      <c r="B18" t="s">
        <v>45</v>
      </c>
      <c r="C18" s="29" t="s">
        <v>50</v>
      </c>
      <c r="D18" s="23">
        <v>4000</v>
      </c>
      <c r="E18" s="28">
        <v>1500</v>
      </c>
      <c r="F18" s="29" t="s">
        <v>37</v>
      </c>
    </row>
    <row r="19" spans="1:7" x14ac:dyDescent="0.25">
      <c r="A19" s="26">
        <v>1017</v>
      </c>
      <c r="B19" t="s">
        <v>46</v>
      </c>
      <c r="C19" s="29" t="s">
        <v>50</v>
      </c>
      <c r="D19" s="23">
        <v>4000</v>
      </c>
      <c r="E19" s="28">
        <v>1500</v>
      </c>
      <c r="F19" s="29" t="s">
        <v>37</v>
      </c>
    </row>
    <row r="20" spans="1:7" x14ac:dyDescent="0.25">
      <c r="A20" s="26">
        <v>1018</v>
      </c>
      <c r="B20" t="s">
        <v>56</v>
      </c>
      <c r="C20" s="29" t="s">
        <v>50</v>
      </c>
      <c r="D20" s="23">
        <v>4000</v>
      </c>
      <c r="E20" s="28">
        <v>1500</v>
      </c>
      <c r="F20" s="29" t="s">
        <v>37</v>
      </c>
    </row>
    <row r="21" spans="1:7" x14ac:dyDescent="0.25">
      <c r="A21" s="26">
        <v>1019</v>
      </c>
      <c r="B21" t="s">
        <v>47</v>
      </c>
      <c r="C21" s="29" t="s">
        <v>50</v>
      </c>
      <c r="D21" s="23">
        <v>3000</v>
      </c>
      <c r="E21" s="28">
        <v>1000</v>
      </c>
      <c r="F21" s="29" t="s">
        <v>51</v>
      </c>
    </row>
    <row r="27" spans="1:7" x14ac:dyDescent="0.25">
      <c r="G27" t="s">
        <v>0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Caisse</vt:lpstr>
      <vt:lpstr>POS</vt:lpstr>
      <vt:lpstr>FACTURATION</vt:lpstr>
      <vt:lpstr>FooterRange</vt:lpstr>
      <vt:lpstr>Caisse!Zone_d_impression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ddy</dc:creator>
  <cp:lastModifiedBy>ddy</cp:lastModifiedBy>
  <cp:lastPrinted>2020-11-07T08:49:18Z</cp:lastPrinted>
  <dcterms:created xsi:type="dcterms:W3CDTF">2020-10-26T08:21:32Z</dcterms:created>
  <dcterms:modified xsi:type="dcterms:W3CDTF">2020-11-07T08:50:31Z</dcterms:modified>
</cp:coreProperties>
</file>